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wy\Downloads\Measurements + SVG\"/>
    </mc:Choice>
  </mc:AlternateContent>
  <xr:revisionPtr revIDLastSave="0" documentId="13_ncr:1_{26540312-3B72-4796-9994-C0BBDDE9FDAA}" xr6:coauthVersionLast="47" xr6:coauthVersionMax="47" xr10:uidLastSave="{00000000-0000-0000-0000-000000000000}"/>
  <bookViews>
    <workbookView xWindow="-103" yWindow="-103" windowWidth="22149" windowHeight="13200" xr2:uid="{9DC4F0B5-B980-49D0-8349-122408AADA29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" l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<sst xmlns="http://schemas.openxmlformats.org/spreadsheetml/2006/main" count="84" uniqueCount="29">
  <si>
    <t>Slide</t>
  </si>
  <si>
    <t>Thallus #</t>
  </si>
  <si>
    <t>Placement</t>
  </si>
  <si>
    <t>Mag</t>
  </si>
  <si>
    <t>Total L</t>
  </si>
  <si>
    <t>P L</t>
  </si>
  <si>
    <t>P W</t>
  </si>
  <si>
    <t>P ratio</t>
  </si>
  <si>
    <t>A cellrow</t>
  </si>
  <si>
    <t>C cellrow</t>
  </si>
  <si>
    <t>P cellrow</t>
  </si>
  <si>
    <t>5369A</t>
  </si>
  <si>
    <t>Femur</t>
  </si>
  <si>
    <t>5369B</t>
  </si>
  <si>
    <t>5369C</t>
  </si>
  <si>
    <t>Antenna</t>
  </si>
  <si>
    <t>5371A</t>
  </si>
  <si>
    <t>Prosternum</t>
  </si>
  <si>
    <t>5371B</t>
  </si>
  <si>
    <t>Coxa</t>
  </si>
  <si>
    <t>5371C</t>
  </si>
  <si>
    <t>Abdomen</t>
  </si>
  <si>
    <t>5598B</t>
  </si>
  <si>
    <t>Elytra</t>
  </si>
  <si>
    <t>5600A</t>
  </si>
  <si>
    <t>Tibia</t>
  </si>
  <si>
    <t>Species</t>
  </si>
  <si>
    <t>Rickia zanettii</t>
  </si>
  <si>
    <t>Rickia huggertii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</si>
</sst>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05024-794B-4E18-8D11-FCACF43FE61E}">
  <dimension ref="A1:L25"/>
  <sheetViews>
    <sheetView tabSelected="1" workbookViewId="0">
      <selection activeCell="B26" sqref="B26"/>
    </sheetView>
  </sheetViews>
  <sheetFormatPr defaultRowHeight="14.6" x14ac:dyDescent="0.4"/>
  <cols>
    <col min="4" max="4" width="12.3828125" customWidth="1"/>
  </cols>
  <sheetData>
    <row r="1" spans="1:12" x14ac:dyDescent="0.4">
      <c r="A1" s="1" t="s">
        <v>0</v>
      </c>
      <c r="B1" s="1" t="s">
        <v>26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4">
      <c r="A2" t="s">
        <v>11</v>
      </c>
      <c r="B2" t="s">
        <v>27</v>
      </c>
      <c r="C2">
        <v>1</v>
      </c>
      <c r="D2" t="s">
        <v>12</v>
      </c>
      <c r="E2">
        <v>40</v>
      </c>
      <c r="F2">
        <v>127.8</v>
      </c>
      <c r="G2">
        <v>63.1</v>
      </c>
      <c r="H2">
        <v>38.9</v>
      </c>
      <c r="I2">
        <f>G2/H2</f>
        <v>1.6221079691516711</v>
      </c>
      <c r="J2">
        <v>7</v>
      </c>
      <c r="K2">
        <v>11</v>
      </c>
      <c r="L2">
        <v>11</v>
      </c>
    </row>
    <row r="3" spans="1:12" x14ac:dyDescent="0.4">
      <c r="A3" t="s">
        <v>11</v>
      </c>
      <c r="B3" t="s">
        <v>27</v>
      </c>
      <c r="C3">
        <v>2</v>
      </c>
      <c r="D3" t="s">
        <v>12</v>
      </c>
      <c r="E3">
        <v>40</v>
      </c>
      <c r="F3">
        <v>114.4</v>
      </c>
      <c r="G3">
        <v>52.7</v>
      </c>
      <c r="H3">
        <v>32.1</v>
      </c>
      <c r="I3">
        <f>G3/H3</f>
        <v>1.6417445482866044</v>
      </c>
      <c r="J3">
        <v>7</v>
      </c>
      <c r="K3">
        <v>11</v>
      </c>
      <c r="L3">
        <v>10</v>
      </c>
    </row>
    <row r="4" spans="1:12" x14ac:dyDescent="0.4">
      <c r="A4" t="s">
        <v>11</v>
      </c>
      <c r="B4" t="s">
        <v>27</v>
      </c>
      <c r="C4">
        <v>3</v>
      </c>
      <c r="D4" t="s">
        <v>12</v>
      </c>
      <c r="E4">
        <v>40</v>
      </c>
      <c r="F4">
        <v>112.6</v>
      </c>
      <c r="G4">
        <v>49.8</v>
      </c>
      <c r="H4">
        <v>34</v>
      </c>
      <c r="I4">
        <f t="shared" ref="I4:I25" si="0">G4/H4</f>
        <v>1.4647058823529411</v>
      </c>
      <c r="J4">
        <v>7</v>
      </c>
      <c r="K4">
        <v>11</v>
      </c>
      <c r="L4">
        <v>10</v>
      </c>
    </row>
    <row r="5" spans="1:12" x14ac:dyDescent="0.4">
      <c r="A5" t="s">
        <v>13</v>
      </c>
      <c r="B5" t="s">
        <v>27</v>
      </c>
      <c r="C5">
        <v>1</v>
      </c>
      <c r="D5" t="s">
        <v>12</v>
      </c>
      <c r="E5">
        <v>20</v>
      </c>
      <c r="F5">
        <v>142.5</v>
      </c>
      <c r="G5">
        <v>70.099999999999994</v>
      </c>
      <c r="H5">
        <v>44.9</v>
      </c>
      <c r="I5">
        <f t="shared" si="0"/>
        <v>1.5612472160356348</v>
      </c>
      <c r="J5">
        <v>6</v>
      </c>
      <c r="K5">
        <v>10</v>
      </c>
      <c r="L5">
        <v>11</v>
      </c>
    </row>
    <row r="6" spans="1:12" x14ac:dyDescent="0.4">
      <c r="A6" t="s">
        <v>14</v>
      </c>
      <c r="B6" t="s">
        <v>27</v>
      </c>
      <c r="C6">
        <v>1</v>
      </c>
      <c r="D6" t="s">
        <v>15</v>
      </c>
      <c r="E6">
        <v>40</v>
      </c>
      <c r="F6">
        <v>116.8</v>
      </c>
      <c r="G6">
        <v>63.6</v>
      </c>
      <c r="H6">
        <v>34.299999999999997</v>
      </c>
      <c r="I6">
        <f t="shared" si="0"/>
        <v>1.8542274052478136</v>
      </c>
      <c r="J6">
        <v>5</v>
      </c>
      <c r="K6">
        <v>10</v>
      </c>
      <c r="L6">
        <v>11</v>
      </c>
    </row>
    <row r="7" spans="1:12" x14ac:dyDescent="0.4">
      <c r="A7" t="s">
        <v>16</v>
      </c>
      <c r="B7" t="s">
        <v>27</v>
      </c>
      <c r="C7">
        <v>1</v>
      </c>
      <c r="D7" t="s">
        <v>17</v>
      </c>
      <c r="E7">
        <v>40</v>
      </c>
      <c r="F7">
        <v>137.69999999999999</v>
      </c>
      <c r="G7">
        <v>64.8</v>
      </c>
      <c r="H7">
        <v>42.3</v>
      </c>
      <c r="I7">
        <f t="shared" si="0"/>
        <v>1.5319148936170213</v>
      </c>
      <c r="J7">
        <v>6</v>
      </c>
      <c r="K7">
        <v>12</v>
      </c>
      <c r="L7">
        <v>12</v>
      </c>
    </row>
    <row r="8" spans="1:12" x14ac:dyDescent="0.4">
      <c r="A8" t="s">
        <v>16</v>
      </c>
      <c r="B8" t="s">
        <v>27</v>
      </c>
      <c r="C8">
        <v>2</v>
      </c>
      <c r="D8" t="s">
        <v>17</v>
      </c>
      <c r="E8">
        <v>40</v>
      </c>
      <c r="F8">
        <v>121.9</v>
      </c>
      <c r="G8">
        <v>56.6</v>
      </c>
      <c r="H8">
        <v>36.299999999999997</v>
      </c>
      <c r="I8">
        <f t="shared" si="0"/>
        <v>1.5592286501377413</v>
      </c>
      <c r="J8">
        <v>6</v>
      </c>
      <c r="K8">
        <v>11</v>
      </c>
      <c r="L8">
        <v>11</v>
      </c>
    </row>
    <row r="9" spans="1:12" x14ac:dyDescent="0.4">
      <c r="A9" t="s">
        <v>18</v>
      </c>
      <c r="B9" t="s">
        <v>27</v>
      </c>
      <c r="C9">
        <v>1</v>
      </c>
      <c r="D9" t="s">
        <v>19</v>
      </c>
      <c r="E9">
        <v>40</v>
      </c>
      <c r="F9">
        <v>161.6</v>
      </c>
      <c r="G9">
        <v>65.2</v>
      </c>
      <c r="H9">
        <v>50.7</v>
      </c>
      <c r="I9">
        <f t="shared" si="0"/>
        <v>1.2859960552268244</v>
      </c>
      <c r="J9">
        <v>7</v>
      </c>
      <c r="K9">
        <v>12</v>
      </c>
      <c r="L9">
        <v>7</v>
      </c>
    </row>
    <row r="10" spans="1:12" x14ac:dyDescent="0.4">
      <c r="A10" t="s">
        <v>18</v>
      </c>
      <c r="B10" t="s">
        <v>27</v>
      </c>
      <c r="C10">
        <v>2</v>
      </c>
      <c r="D10" t="s">
        <v>19</v>
      </c>
      <c r="E10">
        <v>40</v>
      </c>
      <c r="F10">
        <v>121.5</v>
      </c>
      <c r="G10">
        <v>54.5</v>
      </c>
      <c r="H10">
        <v>41</v>
      </c>
      <c r="I10">
        <f t="shared" si="0"/>
        <v>1.3292682926829269</v>
      </c>
      <c r="J10">
        <v>6</v>
      </c>
    </row>
    <row r="11" spans="1:12" x14ac:dyDescent="0.4">
      <c r="A11" t="s">
        <v>18</v>
      </c>
      <c r="B11" t="s">
        <v>27</v>
      </c>
      <c r="C11">
        <v>3</v>
      </c>
      <c r="D11" t="s">
        <v>19</v>
      </c>
      <c r="E11">
        <v>40</v>
      </c>
      <c r="F11">
        <v>101.4</v>
      </c>
      <c r="G11">
        <v>53.1</v>
      </c>
      <c r="H11">
        <v>32.6</v>
      </c>
      <c r="I11">
        <f t="shared" si="0"/>
        <v>1.6288343558282208</v>
      </c>
    </row>
    <row r="12" spans="1:12" x14ac:dyDescent="0.4">
      <c r="A12" t="s">
        <v>18</v>
      </c>
      <c r="B12" t="s">
        <v>27</v>
      </c>
      <c r="C12">
        <v>4</v>
      </c>
      <c r="D12" t="s">
        <v>19</v>
      </c>
      <c r="E12">
        <v>40</v>
      </c>
      <c r="F12">
        <v>119.8</v>
      </c>
      <c r="G12">
        <v>57.9</v>
      </c>
      <c r="H12">
        <v>40.5</v>
      </c>
      <c r="I12">
        <f t="shared" si="0"/>
        <v>1.4296296296296296</v>
      </c>
      <c r="J12">
        <v>6</v>
      </c>
      <c r="L12">
        <v>8</v>
      </c>
    </row>
    <row r="13" spans="1:12" x14ac:dyDescent="0.4">
      <c r="A13" t="s">
        <v>20</v>
      </c>
      <c r="B13" t="s">
        <v>27</v>
      </c>
      <c r="C13">
        <v>1</v>
      </c>
      <c r="D13" t="s">
        <v>21</v>
      </c>
      <c r="E13">
        <v>40</v>
      </c>
      <c r="F13">
        <v>131.80000000000001</v>
      </c>
      <c r="G13">
        <v>64.5</v>
      </c>
      <c r="H13">
        <v>38</v>
      </c>
      <c r="I13">
        <f t="shared" si="0"/>
        <v>1.6973684210526316</v>
      </c>
      <c r="J13">
        <v>5</v>
      </c>
      <c r="L13">
        <v>9</v>
      </c>
    </row>
    <row r="14" spans="1:12" x14ac:dyDescent="0.4">
      <c r="A14" t="s">
        <v>20</v>
      </c>
      <c r="B14" t="s">
        <v>27</v>
      </c>
      <c r="C14">
        <v>2</v>
      </c>
      <c r="D14" t="s">
        <v>21</v>
      </c>
      <c r="E14">
        <v>40</v>
      </c>
      <c r="F14">
        <v>90</v>
      </c>
      <c r="G14">
        <v>41.4</v>
      </c>
      <c r="H14">
        <v>22.9</v>
      </c>
      <c r="I14">
        <f t="shared" si="0"/>
        <v>1.8078602620087336</v>
      </c>
      <c r="J14">
        <v>6</v>
      </c>
      <c r="K14">
        <v>10</v>
      </c>
      <c r="L14">
        <v>10</v>
      </c>
    </row>
    <row r="15" spans="1:12" x14ac:dyDescent="0.4">
      <c r="A15" t="s">
        <v>20</v>
      </c>
      <c r="B15" t="s">
        <v>27</v>
      </c>
      <c r="C15">
        <v>3</v>
      </c>
      <c r="D15" t="s">
        <v>21</v>
      </c>
      <c r="E15">
        <v>40</v>
      </c>
      <c r="F15">
        <v>121.2</v>
      </c>
      <c r="G15">
        <v>60</v>
      </c>
      <c r="H15">
        <v>28.8</v>
      </c>
      <c r="I15">
        <f t="shared" si="0"/>
        <v>2.0833333333333335</v>
      </c>
      <c r="J15">
        <v>6</v>
      </c>
      <c r="K15">
        <v>9</v>
      </c>
      <c r="L15">
        <v>9</v>
      </c>
    </row>
    <row r="16" spans="1:12" x14ac:dyDescent="0.4">
      <c r="A16" t="s">
        <v>20</v>
      </c>
      <c r="B16" t="s">
        <v>27</v>
      </c>
      <c r="C16">
        <v>4</v>
      </c>
      <c r="D16" t="s">
        <v>21</v>
      </c>
      <c r="E16">
        <v>40</v>
      </c>
      <c r="F16">
        <v>89.7</v>
      </c>
      <c r="G16">
        <v>42.9</v>
      </c>
      <c r="H16">
        <v>26.2</v>
      </c>
      <c r="I16">
        <f t="shared" si="0"/>
        <v>1.6374045801526718</v>
      </c>
    </row>
    <row r="17" spans="1:12" x14ac:dyDescent="0.4">
      <c r="A17" t="s">
        <v>20</v>
      </c>
      <c r="B17" t="s">
        <v>27</v>
      </c>
      <c r="C17">
        <v>5</v>
      </c>
      <c r="D17" t="s">
        <v>21</v>
      </c>
      <c r="E17">
        <v>40</v>
      </c>
      <c r="F17">
        <v>84.4</v>
      </c>
      <c r="G17">
        <v>40.6</v>
      </c>
      <c r="H17">
        <v>20.6</v>
      </c>
      <c r="I17">
        <f t="shared" si="0"/>
        <v>1.970873786407767</v>
      </c>
      <c r="J17">
        <v>6</v>
      </c>
      <c r="K17">
        <v>9</v>
      </c>
      <c r="L17">
        <v>9</v>
      </c>
    </row>
    <row r="18" spans="1:12" x14ac:dyDescent="0.4">
      <c r="A18" t="s">
        <v>22</v>
      </c>
      <c r="B18" t="s">
        <v>28</v>
      </c>
      <c r="C18">
        <v>1</v>
      </c>
      <c r="D18" t="s">
        <v>23</v>
      </c>
      <c r="E18">
        <v>40</v>
      </c>
      <c r="F18">
        <v>137.9</v>
      </c>
      <c r="G18">
        <v>65.2</v>
      </c>
      <c r="H18">
        <v>36.299999999999997</v>
      </c>
      <c r="I18">
        <f t="shared" si="0"/>
        <v>1.7961432506887054</v>
      </c>
      <c r="J18">
        <v>4</v>
      </c>
      <c r="K18">
        <v>10</v>
      </c>
      <c r="L18">
        <v>10</v>
      </c>
    </row>
    <row r="19" spans="1:12" x14ac:dyDescent="0.4">
      <c r="A19" t="s">
        <v>24</v>
      </c>
      <c r="B19" t="s">
        <v>28</v>
      </c>
      <c r="C19">
        <v>1</v>
      </c>
      <c r="D19" t="s">
        <v>25</v>
      </c>
      <c r="E19">
        <v>40</v>
      </c>
      <c r="F19">
        <v>138.9</v>
      </c>
      <c r="G19">
        <v>76.7</v>
      </c>
      <c r="H19">
        <v>37.6</v>
      </c>
      <c r="I19">
        <f t="shared" si="0"/>
        <v>2.0398936170212765</v>
      </c>
      <c r="J19">
        <v>4</v>
      </c>
      <c r="K19">
        <v>9</v>
      </c>
      <c r="L19">
        <v>9</v>
      </c>
    </row>
    <row r="20" spans="1:12" x14ac:dyDescent="0.4">
      <c r="A20" t="s">
        <v>24</v>
      </c>
      <c r="B20" t="s">
        <v>28</v>
      </c>
      <c r="C20">
        <v>2</v>
      </c>
      <c r="D20" t="s">
        <v>25</v>
      </c>
      <c r="E20">
        <v>20</v>
      </c>
      <c r="F20">
        <v>145.69999999999999</v>
      </c>
      <c r="G20">
        <v>79.8</v>
      </c>
      <c r="H20">
        <v>34.4</v>
      </c>
      <c r="I20">
        <f t="shared" si="0"/>
        <v>2.3197674418604652</v>
      </c>
      <c r="J20">
        <v>4</v>
      </c>
      <c r="K20">
        <v>11</v>
      </c>
      <c r="L20">
        <v>10</v>
      </c>
    </row>
    <row r="21" spans="1:12" x14ac:dyDescent="0.4">
      <c r="A21" t="s">
        <v>24</v>
      </c>
      <c r="B21" t="s">
        <v>28</v>
      </c>
      <c r="C21">
        <v>3</v>
      </c>
      <c r="D21" t="s">
        <v>25</v>
      </c>
      <c r="E21">
        <v>20</v>
      </c>
      <c r="F21">
        <v>131.5</v>
      </c>
      <c r="G21">
        <v>65.599999999999994</v>
      </c>
      <c r="H21">
        <v>29.6</v>
      </c>
      <c r="I21">
        <f t="shared" si="0"/>
        <v>2.2162162162162158</v>
      </c>
      <c r="J21">
        <v>4</v>
      </c>
      <c r="K21">
        <v>11</v>
      </c>
      <c r="L21">
        <v>10</v>
      </c>
    </row>
    <row r="22" spans="1:12" x14ac:dyDescent="0.4">
      <c r="A22" t="s">
        <v>24</v>
      </c>
      <c r="B22" t="s">
        <v>28</v>
      </c>
      <c r="C22">
        <v>4</v>
      </c>
      <c r="D22" t="s">
        <v>25</v>
      </c>
      <c r="E22">
        <v>20</v>
      </c>
      <c r="F22">
        <v>168</v>
      </c>
      <c r="G22">
        <v>84.8</v>
      </c>
      <c r="H22">
        <v>47.1</v>
      </c>
      <c r="I22">
        <f t="shared" si="0"/>
        <v>1.800424628450106</v>
      </c>
    </row>
    <row r="23" spans="1:12" x14ac:dyDescent="0.4">
      <c r="A23" t="s">
        <v>24</v>
      </c>
      <c r="B23" t="s">
        <v>28</v>
      </c>
      <c r="C23">
        <v>5</v>
      </c>
      <c r="D23" t="s">
        <v>25</v>
      </c>
      <c r="E23">
        <v>20</v>
      </c>
      <c r="F23">
        <v>138.19999999999999</v>
      </c>
      <c r="G23">
        <v>68.5</v>
      </c>
      <c r="H23">
        <v>28.9</v>
      </c>
      <c r="I23">
        <f t="shared" si="0"/>
        <v>2.3702422145328721</v>
      </c>
      <c r="J23">
        <v>4</v>
      </c>
      <c r="K23">
        <v>11</v>
      </c>
      <c r="L23">
        <v>11</v>
      </c>
    </row>
    <row r="24" spans="1:12" x14ac:dyDescent="0.4">
      <c r="A24" t="s">
        <v>24</v>
      </c>
      <c r="B24" t="s">
        <v>28</v>
      </c>
      <c r="C24">
        <v>6</v>
      </c>
      <c r="D24" t="s">
        <v>25</v>
      </c>
      <c r="E24">
        <v>40</v>
      </c>
      <c r="F24">
        <v>134.69999999999999</v>
      </c>
      <c r="G24">
        <v>71.5</v>
      </c>
      <c r="H24">
        <v>33.4</v>
      </c>
      <c r="I24">
        <f t="shared" si="0"/>
        <v>2.1407185628742518</v>
      </c>
      <c r="J24">
        <v>4</v>
      </c>
      <c r="K24">
        <v>10</v>
      </c>
      <c r="L24">
        <v>10</v>
      </c>
    </row>
    <row r="25" spans="1:12" x14ac:dyDescent="0.4">
      <c r="A25" t="s">
        <v>24</v>
      </c>
      <c r="B25" t="s">
        <v>28</v>
      </c>
      <c r="C25">
        <v>7</v>
      </c>
      <c r="D25" t="s">
        <v>25</v>
      </c>
      <c r="E25">
        <v>40</v>
      </c>
      <c r="F25">
        <v>146</v>
      </c>
      <c r="G25">
        <v>73.400000000000006</v>
      </c>
      <c r="H25">
        <v>36.200000000000003</v>
      </c>
      <c r="I25">
        <f t="shared" si="0"/>
        <v>2.027624309392265</v>
      </c>
      <c r="J25">
        <v>4</v>
      </c>
      <c r="K25">
        <v>11</v>
      </c>
      <c r="L25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 Van Caenegem</dc:creator>
  <cp:lastModifiedBy>Warre Van Caenegem</cp:lastModifiedBy>
  <dcterms:created xsi:type="dcterms:W3CDTF">2025-04-10T20:19:11Z</dcterms:created>
  <dcterms:modified xsi:type="dcterms:W3CDTF">2025-04-10T20:41:51Z</dcterms:modified>
</cp:coreProperties>
</file>